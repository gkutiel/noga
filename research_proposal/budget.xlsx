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GA_budget" sheetId="1" r:id="rId4"/>
  </sheets>
  <definedNames/>
  <calcPr/>
</workbook>
</file>

<file path=xl/sharedStrings.xml><?xml version="1.0" encoding="utf-8"?>
<sst xmlns="http://schemas.openxmlformats.org/spreadsheetml/2006/main" count="23" uniqueCount="23">
  <si>
    <t>Total (in NIS)</t>
  </si>
  <si>
    <t>Item</t>
  </si>
  <si>
    <t>Amount</t>
  </si>
  <si>
    <t>Personnel</t>
  </si>
  <si>
    <t>AI and cloud processing</t>
  </si>
  <si>
    <t>Overhead (15%)</t>
  </si>
  <si>
    <t>Total</t>
  </si>
  <si>
    <t>Personnel (in NIS)</t>
  </si>
  <si>
    <t>Employee</t>
  </si>
  <si>
    <t>Role</t>
  </si>
  <si>
    <t>% Position</t>
  </si>
  <si>
    <t>Months</t>
  </si>
  <si>
    <t>Full monthly salary</t>
  </si>
  <si>
    <t>Budget</t>
  </si>
  <si>
    <t>Or Aleksandrowicz</t>
  </si>
  <si>
    <t>Principal Investigator 1</t>
  </si>
  <si>
    <t>Avigdor Gal</t>
  </si>
  <si>
    <t>Principal Investigator 2</t>
  </si>
  <si>
    <t>Gilad Kutiel</t>
  </si>
  <si>
    <t>Project Manager</t>
  </si>
  <si>
    <t>Research assistant (TBD)</t>
  </si>
  <si>
    <t>Data Processing</t>
  </si>
  <si>
    <t>Total personnel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</si>
</sst>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/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/>
    </xf>
    <xf borderId="0" fillId="0" fontId="2" numFmtId="0" xfId="0" applyAlignment="1" applyFont="1">
      <alignment horizontal="left" readingOrder="1"/>
    </xf>
    <xf borderId="0" fillId="0" fontId="2" numFmtId="0" xfId="0" applyAlignment="1" applyFont="1">
      <alignment horizontal="left" readingOrder="1"/>
    </xf>
    <xf borderId="0" fillId="0" fontId="2" numFmtId="0" xfId="0" applyAlignment="1" applyFont="1">
      <alignment horizontal="left" readingOrder="1"/>
    </xf>
    <xf borderId="0" fillId="0" fontId="3" numFmtId="0" xfId="0" applyAlignment="1" applyFont="1">
      <alignment horizontal="left" readingOrder="1" vertical="bottom"/>
    </xf>
    <xf borderId="0" fillId="0" fontId="3" numFmtId="0" xfId="0" applyAlignment="1" applyFont="1">
      <alignment horizontal="right" readingOrder="1" vertical="bottom"/>
    </xf>
    <xf borderId="0" fillId="0" fontId="3" numFmtId="0" xfId="0" applyAlignment="1" applyFont="1">
      <alignment horizontal="right" readingOrder="1" vertical="bottom"/>
    </xf>
    <xf borderId="0" fillId="0" fontId="3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1"/>
    </xf>
    <xf borderId="0" fillId="0" fontId="2" numFmtId="1" xfId="0" applyAlignment="1" applyFont="1" applyNumberFormat="1">
      <alignment horizontal="left" readingOrder="1"/>
    </xf>
    <xf borderId="0" fillId="0" fontId="2" numFmtId="1" xfId="0" applyAlignment="1" applyFont="1" applyNumberFormat="1">
      <alignment horizontal="left" readingOrder="1"/>
    </xf>
    <xf borderId="0" fillId="0" fontId="1" numFmtId="0" xfId="0" applyAlignment="1" applyFont="1">
      <alignment horizontal="left" readingOrder="1"/>
    </xf>
    <xf borderId="0" fillId="0" fontId="2" numFmtId="0" xfId="0" applyAlignment="1" applyFont="1">
      <alignment readingOrder="0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0.0"/>
    <col customWidth="1" min="5" max="5" width="1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</row>
    <row r="3">
      <c r="A3" s="3" t="s">
        <v>3</v>
      </c>
      <c r="B3" s="4">
        <f>F14</f>
        <v>217200</v>
      </c>
      <c r="C3" s="3"/>
      <c r="D3" s="3"/>
      <c r="E3" s="3"/>
      <c r="F3" s="2"/>
      <c r="G3" s="2"/>
      <c r="H3" s="2"/>
      <c r="I3" s="2"/>
      <c r="J3" s="2"/>
      <c r="K3" s="2"/>
    </row>
    <row r="4">
      <c r="A4" s="5" t="s">
        <v>4</v>
      </c>
      <c r="B4" s="5">
        <v>10000.0</v>
      </c>
      <c r="C4" s="6"/>
      <c r="D4" s="6"/>
      <c r="E4" s="6"/>
      <c r="F4" s="7"/>
      <c r="G4" s="2"/>
      <c r="H4" s="2"/>
      <c r="I4" s="2"/>
      <c r="J4" s="2"/>
      <c r="K4" s="2"/>
    </row>
    <row r="5">
      <c r="A5" s="8" t="s">
        <v>5</v>
      </c>
      <c r="B5" s="5">
        <f>0.15*(B3+B4)</f>
        <v>34080</v>
      </c>
      <c r="C5" s="6"/>
      <c r="D5" s="6"/>
      <c r="E5" s="6"/>
      <c r="F5" s="7"/>
      <c r="G5" s="2"/>
      <c r="H5" s="2"/>
      <c r="I5" s="2"/>
      <c r="J5" s="2"/>
      <c r="K5" s="2"/>
    </row>
    <row r="6">
      <c r="A6" s="3" t="s">
        <v>6</v>
      </c>
      <c r="B6" s="9">
        <f>SUM(B3:B5)</f>
        <v>261280</v>
      </c>
      <c r="C6" s="3"/>
      <c r="D6" s="3"/>
      <c r="E6" s="2"/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1" t="s">
        <v>7</v>
      </c>
      <c r="B8" s="3"/>
      <c r="C8" s="2"/>
      <c r="D8" s="2"/>
      <c r="E8" s="2"/>
      <c r="F8" s="2"/>
      <c r="G8" s="2"/>
      <c r="H8" s="2"/>
      <c r="I8" s="2"/>
      <c r="J8" s="2"/>
      <c r="K8" s="2"/>
    </row>
    <row r="9">
      <c r="A9" s="10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2"/>
      <c r="H9" s="2"/>
      <c r="I9" s="2"/>
      <c r="J9" s="2"/>
      <c r="K9" s="2"/>
    </row>
    <row r="10">
      <c r="A10" s="3" t="s">
        <v>14</v>
      </c>
      <c r="B10" s="3" t="s">
        <v>15</v>
      </c>
      <c r="C10" s="4">
        <v>20.0</v>
      </c>
      <c r="D10" s="4">
        <v>12.0</v>
      </c>
      <c r="E10" s="4">
        <v>0.0</v>
      </c>
      <c r="F10" s="11">
        <f t="shared" ref="F10:F13" si="1">(C10/100)*D10*E10</f>
        <v>0</v>
      </c>
      <c r="G10" s="2"/>
      <c r="H10" s="2"/>
      <c r="I10" s="2"/>
      <c r="J10" s="2"/>
      <c r="K10" s="2"/>
    </row>
    <row r="11">
      <c r="A11" s="3" t="s">
        <v>16</v>
      </c>
      <c r="B11" s="12" t="s">
        <v>17</v>
      </c>
      <c r="C11" s="13">
        <v>5.0</v>
      </c>
      <c r="D11" s="4">
        <v>12.0</v>
      </c>
      <c r="E11" s="4">
        <v>0.0</v>
      </c>
      <c r="F11" s="11">
        <f t="shared" si="1"/>
        <v>0</v>
      </c>
      <c r="G11" s="2"/>
      <c r="H11" s="2"/>
      <c r="I11" s="2"/>
      <c r="J11" s="2"/>
      <c r="K11" s="2"/>
    </row>
    <row r="12">
      <c r="A12" s="3" t="s">
        <v>18</v>
      </c>
      <c r="B12" s="12" t="s">
        <v>19</v>
      </c>
      <c r="C12" s="13">
        <v>66.0</v>
      </c>
      <c r="D12" s="4">
        <v>12.0</v>
      </c>
      <c r="E12" s="4">
        <v>23000.0</v>
      </c>
      <c r="F12" s="11">
        <f t="shared" si="1"/>
        <v>182160</v>
      </c>
      <c r="G12" s="2"/>
      <c r="H12" s="2"/>
      <c r="I12" s="2"/>
      <c r="J12" s="2"/>
      <c r="K12" s="2"/>
    </row>
    <row r="13">
      <c r="A13" s="3" t="s">
        <v>20</v>
      </c>
      <c r="B13" s="12" t="s">
        <v>21</v>
      </c>
      <c r="C13" s="13">
        <v>20.0</v>
      </c>
      <c r="D13" s="4">
        <v>12.0</v>
      </c>
      <c r="E13" s="4">
        <v>14600.0</v>
      </c>
      <c r="F13" s="11">
        <f t="shared" si="1"/>
        <v>35040</v>
      </c>
      <c r="G13" s="2"/>
      <c r="H13" s="2"/>
      <c r="I13" s="2"/>
      <c r="J13" s="2"/>
      <c r="K13" s="2"/>
    </row>
    <row r="14">
      <c r="A14" s="3" t="s">
        <v>22</v>
      </c>
      <c r="C14" s="13"/>
      <c r="D14" s="11"/>
      <c r="E14" s="11"/>
      <c r="F14" s="14">
        <f>SUM(F10:F13)</f>
        <v>217200</v>
      </c>
      <c r="G14" s="3"/>
      <c r="H14" s="2"/>
      <c r="I14" s="2"/>
      <c r="J14" s="2"/>
      <c r="K14" s="2"/>
    </row>
    <row r="15">
      <c r="A15" s="15"/>
      <c r="B15" s="16"/>
      <c r="C15" s="16"/>
    </row>
    <row r="16">
      <c r="A16" s="15"/>
      <c r="B16" s="16"/>
      <c r="C16" s="16"/>
    </row>
  </sheetData>
  <drawing r:id="rId1"/>
</worksheet>
</file>